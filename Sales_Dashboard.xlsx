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ytics\New folder\"/>
    </mc:Choice>
  </mc:AlternateContent>
  <xr:revisionPtr revIDLastSave="0" documentId="8_{87C8DCBF-B265-46C4-BC8B-F4E5D54D5C13}" xr6:coauthVersionLast="47" xr6:coauthVersionMax="47" xr10:uidLastSave="{00000000-0000-0000-0000-000000000000}"/>
  <bookViews>
    <workbookView xWindow="-108" yWindow="-108" windowWidth="23256" windowHeight="12576" xr2:uid="{63B5E746-A8A8-43AD-BD35-ACEAF6E9620F}"/>
  </bookViews>
  <sheets>
    <sheet name="data" sheetId="1" r:id="rId1"/>
    <sheet name="charts" sheetId="3" r:id="rId2"/>
    <sheet name="Dashboard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<sst xmlns="http://schemas.openxmlformats.org/spreadsheetml/2006/main" count="71" uniqueCount="30">
  <si>
    <t>Date</t>
  </si>
  <si>
    <t>Product</t>
  </si>
  <si>
    <t>Region</t>
  </si>
  <si>
    <t>Salesperson</t>
  </si>
  <si>
    <t>Units Sold</t>
  </si>
  <si>
    <t>Unit Price</t>
  </si>
  <si>
    <t>Laptop</t>
  </si>
  <si>
    <t>North</t>
  </si>
  <si>
    <t>Rahul</t>
  </si>
  <si>
    <t>Mobile</t>
  </si>
  <si>
    <t>South</t>
  </si>
  <si>
    <t>Priya</t>
  </si>
  <si>
    <t>Tablet</t>
  </si>
  <si>
    <t>East</t>
  </si>
  <si>
    <t>Arjun</t>
  </si>
  <si>
    <t>West</t>
  </si>
  <si>
    <t>Sneha</t>
  </si>
  <si>
    <t>Total sales</t>
  </si>
  <si>
    <t>Total revenue</t>
  </si>
  <si>
    <t>Highest Sale</t>
  </si>
  <si>
    <t>Average sale</t>
  </si>
  <si>
    <t>Metric</t>
  </si>
  <si>
    <t>Formula</t>
  </si>
  <si>
    <t>Total Revenue</t>
  </si>
  <si>
    <t>Average Sale</t>
  </si>
  <si>
    <t>Total Units Sold</t>
  </si>
  <si>
    <t>Product+total sales</t>
  </si>
  <si>
    <t>1) column chart</t>
  </si>
  <si>
    <t>2) pie chart</t>
  </si>
  <si>
    <t>region+total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</si>
</sst>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₹-44B]#,##0.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9" fontId="0" fillId="0" borderId="0" xfId="0" applyNumberFormat="1"/>
    <xf numFmtId="0" fontId="3" fillId="0" borderId="0" xfId="0" applyFont="1"/>
    <xf numFmtId="16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9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data!$B$2:$B$16</c:f>
              <c:strCache>
                <c:ptCount val="1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Laptop</c:v>
                </c:pt>
                <c:pt idx="4">
                  <c:v>Mobile</c:v>
                </c:pt>
                <c:pt idx="5">
                  <c:v>Tablet</c:v>
                </c:pt>
                <c:pt idx="6">
                  <c:v>Laptop</c:v>
                </c:pt>
                <c:pt idx="7">
                  <c:v>Mobile</c:v>
                </c:pt>
                <c:pt idx="8">
                  <c:v>Tablet</c:v>
                </c:pt>
                <c:pt idx="9">
                  <c:v>Laptop</c:v>
                </c:pt>
                <c:pt idx="10">
                  <c:v>Mobile</c:v>
                </c:pt>
                <c:pt idx="11">
                  <c:v>Tablet</c:v>
                </c:pt>
                <c:pt idx="12">
                  <c:v>Laptop</c:v>
                </c:pt>
                <c:pt idx="13">
                  <c:v>Mobile</c:v>
                </c:pt>
                <c:pt idx="14">
                  <c:v>Tablet</c:v>
                </c:pt>
              </c:strCache>
            </c:strRef>
          </c:cat>
          <c:val>
            <c:numRef>
              <c:f>data!$G$2:$G$16</c:f>
              <c:numCache>
                <c:formatCode>General</c:formatCode>
                <c:ptCount val="15"/>
                <c:pt idx="0">
                  <c:v>250000</c:v>
                </c:pt>
                <c:pt idx="1">
                  <c:v>200000</c:v>
                </c:pt>
                <c:pt idx="2">
                  <c:v>105000</c:v>
                </c:pt>
                <c:pt idx="3">
                  <c:v>200000</c:v>
                </c:pt>
                <c:pt idx="4">
                  <c:v>160000</c:v>
                </c:pt>
                <c:pt idx="5">
                  <c:v>90000</c:v>
                </c:pt>
                <c:pt idx="6">
                  <c:v>150000</c:v>
                </c:pt>
                <c:pt idx="7">
                  <c:v>240000</c:v>
                </c:pt>
                <c:pt idx="8">
                  <c:v>75000</c:v>
                </c:pt>
                <c:pt idx="9">
                  <c:v>200000</c:v>
                </c:pt>
                <c:pt idx="10">
                  <c:v>180000</c:v>
                </c:pt>
                <c:pt idx="11">
                  <c:v>120000</c:v>
                </c:pt>
                <c:pt idx="12">
                  <c:v>300000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D-4ECC-96D4-447B750E0888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data!$B$2:$B$16</c:f>
              <c:strCache>
                <c:ptCount val="1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Laptop</c:v>
                </c:pt>
                <c:pt idx="4">
                  <c:v>Mobile</c:v>
                </c:pt>
                <c:pt idx="5">
                  <c:v>Tablet</c:v>
                </c:pt>
                <c:pt idx="6">
                  <c:v>Laptop</c:v>
                </c:pt>
                <c:pt idx="7">
                  <c:v>Mobile</c:v>
                </c:pt>
                <c:pt idx="8">
                  <c:v>Tablet</c:v>
                </c:pt>
                <c:pt idx="9">
                  <c:v>Laptop</c:v>
                </c:pt>
                <c:pt idx="10">
                  <c:v>Mobile</c:v>
                </c:pt>
                <c:pt idx="11">
                  <c:v>Tablet</c:v>
                </c:pt>
                <c:pt idx="12">
                  <c:v>Laptop</c:v>
                </c:pt>
                <c:pt idx="13">
                  <c:v>Mobile</c:v>
                </c:pt>
                <c:pt idx="14">
                  <c:v>Tablet</c:v>
                </c:pt>
              </c:strCache>
            </c:strRef>
          </c:cat>
          <c:val>
            <c:numRef>
              <c:f>data!$G$2:$G$16</c:f>
              <c:numCache>
                <c:formatCode>General</c:formatCode>
                <c:ptCount val="15"/>
                <c:pt idx="0">
                  <c:v>250000</c:v>
                </c:pt>
                <c:pt idx="1">
                  <c:v>200000</c:v>
                </c:pt>
                <c:pt idx="2">
                  <c:v>105000</c:v>
                </c:pt>
                <c:pt idx="3">
                  <c:v>200000</c:v>
                </c:pt>
                <c:pt idx="4">
                  <c:v>160000</c:v>
                </c:pt>
                <c:pt idx="5">
                  <c:v>90000</c:v>
                </c:pt>
                <c:pt idx="6">
                  <c:v>150000</c:v>
                </c:pt>
                <c:pt idx="7">
                  <c:v>240000</c:v>
                </c:pt>
                <c:pt idx="8">
                  <c:v>75000</c:v>
                </c:pt>
                <c:pt idx="9">
                  <c:v>200000</c:v>
                </c:pt>
                <c:pt idx="10">
                  <c:v>180000</c:v>
                </c:pt>
                <c:pt idx="11">
                  <c:v>120000</c:v>
                </c:pt>
                <c:pt idx="12">
                  <c:v>300000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6D-4ECC-96D4-447B750E0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390912"/>
        <c:axId val="470407712"/>
      </c:barChart>
      <c:catAx>
        <c:axId val="47039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07712"/>
        <c:crosses val="autoZero"/>
        <c:auto val="1"/>
        <c:lblAlgn val="ctr"/>
        <c:lblOffset val="100"/>
        <c:noMultiLvlLbl val="0"/>
      </c:catAx>
      <c:valAx>
        <c:axId val="4704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9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data!$G$1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CC5-43E2-9954-AD2FE942F3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CC5-43E2-9954-AD2FE942F3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CC5-43E2-9954-AD2FE942F3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CC5-43E2-9954-AD2FE942F3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CC5-43E2-9954-AD2FE942F3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C5-43E2-9954-AD2FE942F3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CC5-43E2-9954-AD2FE942F3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CC5-43E2-9954-AD2FE942F3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CC5-43E2-9954-AD2FE942F3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CC5-43E2-9954-AD2FE942F37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CC5-43E2-9954-AD2FE942F37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CC5-43E2-9954-AD2FE942F37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CC5-43E2-9954-AD2FE942F37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CC5-43E2-9954-AD2FE942F37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CC5-43E2-9954-AD2FE942F37D}"/>
              </c:ext>
            </c:extLst>
          </c:dPt>
          <c:cat>
            <c:strRef>
              <c:f>data!$C$2:$C$16</c:f>
              <c:strCache>
                <c:ptCount val="1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  <c:pt idx="7">
                  <c:v>West</c:v>
                </c:pt>
                <c:pt idx="8">
                  <c:v>North</c:v>
                </c:pt>
                <c:pt idx="9">
                  <c:v>South</c:v>
                </c:pt>
                <c:pt idx="10">
                  <c:v>East</c:v>
                </c:pt>
                <c:pt idx="11">
                  <c:v>West</c:v>
                </c:pt>
                <c:pt idx="12">
                  <c:v>North</c:v>
                </c:pt>
                <c:pt idx="13">
                  <c:v>South</c:v>
                </c:pt>
                <c:pt idx="14">
                  <c:v>East</c:v>
                </c:pt>
              </c:strCache>
            </c:strRef>
          </c:cat>
          <c:val>
            <c:numRef>
              <c:f>data!$G$2:$G$16</c:f>
              <c:numCache>
                <c:formatCode>General</c:formatCode>
                <c:ptCount val="15"/>
                <c:pt idx="0">
                  <c:v>250000</c:v>
                </c:pt>
                <c:pt idx="1">
                  <c:v>200000</c:v>
                </c:pt>
                <c:pt idx="2">
                  <c:v>105000</c:v>
                </c:pt>
                <c:pt idx="3">
                  <c:v>200000</c:v>
                </c:pt>
                <c:pt idx="4">
                  <c:v>160000</c:v>
                </c:pt>
                <c:pt idx="5">
                  <c:v>90000</c:v>
                </c:pt>
                <c:pt idx="6">
                  <c:v>150000</c:v>
                </c:pt>
                <c:pt idx="7">
                  <c:v>240000</c:v>
                </c:pt>
                <c:pt idx="8">
                  <c:v>75000</c:v>
                </c:pt>
                <c:pt idx="9">
                  <c:v>200000</c:v>
                </c:pt>
                <c:pt idx="10">
                  <c:v>180000</c:v>
                </c:pt>
                <c:pt idx="11">
                  <c:v>120000</c:v>
                </c:pt>
                <c:pt idx="12">
                  <c:v>300000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CC5-43E2-9954-AD2FE942F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data!$B$2:$B$16</c:f>
              <c:strCache>
                <c:ptCount val="1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Laptop</c:v>
                </c:pt>
                <c:pt idx="4">
                  <c:v>Mobile</c:v>
                </c:pt>
                <c:pt idx="5">
                  <c:v>Tablet</c:v>
                </c:pt>
                <c:pt idx="6">
                  <c:v>Laptop</c:v>
                </c:pt>
                <c:pt idx="7">
                  <c:v>Mobile</c:v>
                </c:pt>
                <c:pt idx="8">
                  <c:v>Tablet</c:v>
                </c:pt>
                <c:pt idx="9">
                  <c:v>Laptop</c:v>
                </c:pt>
                <c:pt idx="10">
                  <c:v>Mobile</c:v>
                </c:pt>
                <c:pt idx="11">
                  <c:v>Tablet</c:v>
                </c:pt>
                <c:pt idx="12">
                  <c:v>Laptop</c:v>
                </c:pt>
                <c:pt idx="13">
                  <c:v>Mobile</c:v>
                </c:pt>
                <c:pt idx="14">
                  <c:v>Tablet</c:v>
                </c:pt>
              </c:strCache>
            </c:strRef>
          </c:cat>
          <c:val>
            <c:numRef>
              <c:f>data!$G$2:$G$16</c:f>
              <c:numCache>
                <c:formatCode>General</c:formatCode>
                <c:ptCount val="15"/>
                <c:pt idx="0">
                  <c:v>250000</c:v>
                </c:pt>
                <c:pt idx="1">
                  <c:v>200000</c:v>
                </c:pt>
                <c:pt idx="2">
                  <c:v>105000</c:v>
                </c:pt>
                <c:pt idx="3">
                  <c:v>200000</c:v>
                </c:pt>
                <c:pt idx="4">
                  <c:v>160000</c:v>
                </c:pt>
                <c:pt idx="5">
                  <c:v>90000</c:v>
                </c:pt>
                <c:pt idx="6">
                  <c:v>150000</c:v>
                </c:pt>
                <c:pt idx="7">
                  <c:v>240000</c:v>
                </c:pt>
                <c:pt idx="8">
                  <c:v>75000</c:v>
                </c:pt>
                <c:pt idx="9">
                  <c:v>200000</c:v>
                </c:pt>
                <c:pt idx="10">
                  <c:v>180000</c:v>
                </c:pt>
                <c:pt idx="11">
                  <c:v>120000</c:v>
                </c:pt>
                <c:pt idx="12">
                  <c:v>300000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8-49EC-9615-2CB6255D3AA2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data!$B$2:$B$16</c:f>
              <c:strCache>
                <c:ptCount val="1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Laptop</c:v>
                </c:pt>
                <c:pt idx="4">
                  <c:v>Mobile</c:v>
                </c:pt>
                <c:pt idx="5">
                  <c:v>Tablet</c:v>
                </c:pt>
                <c:pt idx="6">
                  <c:v>Laptop</c:v>
                </c:pt>
                <c:pt idx="7">
                  <c:v>Mobile</c:v>
                </c:pt>
                <c:pt idx="8">
                  <c:v>Tablet</c:v>
                </c:pt>
                <c:pt idx="9">
                  <c:v>Laptop</c:v>
                </c:pt>
                <c:pt idx="10">
                  <c:v>Mobile</c:v>
                </c:pt>
                <c:pt idx="11">
                  <c:v>Tablet</c:v>
                </c:pt>
                <c:pt idx="12">
                  <c:v>Laptop</c:v>
                </c:pt>
                <c:pt idx="13">
                  <c:v>Mobile</c:v>
                </c:pt>
                <c:pt idx="14">
                  <c:v>Tablet</c:v>
                </c:pt>
              </c:strCache>
            </c:strRef>
          </c:cat>
          <c:val>
            <c:numRef>
              <c:f>data!$G$2:$G$16</c:f>
              <c:numCache>
                <c:formatCode>General</c:formatCode>
                <c:ptCount val="15"/>
                <c:pt idx="0">
                  <c:v>250000</c:v>
                </c:pt>
                <c:pt idx="1">
                  <c:v>200000</c:v>
                </c:pt>
                <c:pt idx="2">
                  <c:v>105000</c:v>
                </c:pt>
                <c:pt idx="3">
                  <c:v>200000</c:v>
                </c:pt>
                <c:pt idx="4">
                  <c:v>160000</c:v>
                </c:pt>
                <c:pt idx="5">
                  <c:v>90000</c:v>
                </c:pt>
                <c:pt idx="6">
                  <c:v>150000</c:v>
                </c:pt>
                <c:pt idx="7">
                  <c:v>240000</c:v>
                </c:pt>
                <c:pt idx="8">
                  <c:v>75000</c:v>
                </c:pt>
                <c:pt idx="9">
                  <c:v>200000</c:v>
                </c:pt>
                <c:pt idx="10">
                  <c:v>180000</c:v>
                </c:pt>
                <c:pt idx="11">
                  <c:v>120000</c:v>
                </c:pt>
                <c:pt idx="12">
                  <c:v>300000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8-49EC-9615-2CB6255D3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390912"/>
        <c:axId val="470407712"/>
      </c:barChart>
      <c:catAx>
        <c:axId val="47039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07712"/>
        <c:crosses val="autoZero"/>
        <c:auto val="1"/>
        <c:lblAlgn val="ctr"/>
        <c:lblOffset val="100"/>
        <c:noMultiLvlLbl val="0"/>
      </c:catAx>
      <c:valAx>
        <c:axId val="4704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9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data!$G$1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52-47B9-8576-E30A2004D1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52-47B9-8576-E30A2004D1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52-47B9-8576-E30A2004D1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052-47B9-8576-E30A2004D1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052-47B9-8576-E30A2004D1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052-47B9-8576-E30A2004D1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052-47B9-8576-E30A2004D1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052-47B9-8576-E30A2004D1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052-47B9-8576-E30A2004D1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052-47B9-8576-E30A2004D10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052-47B9-8576-E30A2004D10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052-47B9-8576-E30A2004D10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052-47B9-8576-E30A2004D10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052-47B9-8576-E30A2004D10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052-47B9-8576-E30A2004D100}"/>
              </c:ext>
            </c:extLst>
          </c:dPt>
          <c:cat>
            <c:strRef>
              <c:f>data!$C$2:$C$16</c:f>
              <c:strCache>
                <c:ptCount val="1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  <c:pt idx="7">
                  <c:v>West</c:v>
                </c:pt>
                <c:pt idx="8">
                  <c:v>North</c:v>
                </c:pt>
                <c:pt idx="9">
                  <c:v>South</c:v>
                </c:pt>
                <c:pt idx="10">
                  <c:v>East</c:v>
                </c:pt>
                <c:pt idx="11">
                  <c:v>West</c:v>
                </c:pt>
                <c:pt idx="12">
                  <c:v>North</c:v>
                </c:pt>
                <c:pt idx="13">
                  <c:v>South</c:v>
                </c:pt>
                <c:pt idx="14">
                  <c:v>East</c:v>
                </c:pt>
              </c:strCache>
            </c:strRef>
          </c:cat>
          <c:val>
            <c:numRef>
              <c:f>data!$G$2:$G$16</c:f>
              <c:numCache>
                <c:formatCode>General</c:formatCode>
                <c:ptCount val="15"/>
                <c:pt idx="0">
                  <c:v>250000</c:v>
                </c:pt>
                <c:pt idx="1">
                  <c:v>200000</c:v>
                </c:pt>
                <c:pt idx="2">
                  <c:v>105000</c:v>
                </c:pt>
                <c:pt idx="3">
                  <c:v>200000</c:v>
                </c:pt>
                <c:pt idx="4">
                  <c:v>160000</c:v>
                </c:pt>
                <c:pt idx="5">
                  <c:v>90000</c:v>
                </c:pt>
                <c:pt idx="6">
                  <c:v>150000</c:v>
                </c:pt>
                <c:pt idx="7">
                  <c:v>240000</c:v>
                </c:pt>
                <c:pt idx="8">
                  <c:v>75000</c:v>
                </c:pt>
                <c:pt idx="9">
                  <c:v>200000</c:v>
                </c:pt>
                <c:pt idx="10">
                  <c:v>180000</c:v>
                </c:pt>
                <c:pt idx="11">
                  <c:v>120000</c:v>
                </c:pt>
                <c:pt idx="12">
                  <c:v>300000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052-47B9-8576-E30A2004D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304800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79BA5-EF8A-4FC7-8CAC-914AA0191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B975B7-3105-4DAF-9AD4-1BD6E5890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4</xdr:row>
      <xdr:rowOff>53340</xdr:rowOff>
    </xdr:from>
    <xdr:to>
      <xdr:col>10</xdr:col>
      <xdr:colOff>236220</xdr:colOff>
      <xdr:row>18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EEDA2-020C-474E-8858-0352C4812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541020</xdr:colOff>
      <xdr:row>4</xdr:row>
      <xdr:rowOff>53340</xdr:rowOff>
    </xdr:from>
    <xdr:to>
      <xdr:col>19</xdr:col>
      <xdr:colOff>236220</xdr:colOff>
      <xdr:row>18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A5A57-260D-4B9C-B518-2F7CFEA0D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8A5A-8FF2-4A36-9E3B-F73F1AF3A451}">
  <sheetPr>
    <tabColor rgb="FF002060"/>
  </sheetPr>
  <dimension ref="A1:N16"/>
  <sheetViews>
    <sheetView tabSelected="1" workbookViewId="0">
      <selection activeCell="I23" sqref="I23"/>
    </sheetView>
  </sheetViews>
  <sheetFormatPr defaultRowHeight="14.4"/>
  <cols>
    <col min="7" max="7" width="10.33203125" customWidth="1"/>
    <col min="8" max="8" width="13.44140625" customWidth="1"/>
    <col min="9" max="9" width="12.5546875" customWidth="1"/>
    <col min="10" max="10" width="12.33203125" customWidth="1"/>
    <col min="13" max="13" width="13.21875" customWidth="1"/>
    <col min="14" max="14" width="12.44140625" customWidth="1"/>
  </cols>
  <sheetData>
    <row r="1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17</v>
      </c>
      <c r="H1" s="11" t="s">
        <v>18</v>
      </c>
      <c r="I1" s="11" t="s">
        <v>19</v>
      </c>
      <c r="J1" s="11" t="s">
        <v>20</v>
      </c>
    </row>
    <row r="2" spans="1:14">
      <c r="A2" s="1">
        <v>46023</v>
      </c>
      <c r="B2" t="s">
        <v>6</v>
      </c>
      <c r="C2" t="s">
        <v>7</v>
      </c>
      <c r="D2" t="s">
        <v>8</v>
      </c>
      <c r="E2">
        <v>5</v>
      </c>
      <c r="F2">
        <v>50000</v>
      </c>
      <c r="G2">
        <f>E2*F2</f>
        <v>250000</v>
      </c>
      <c r="H2">
        <f>SUM(G2:G16)</f>
        <v>2560000</v>
      </c>
      <c r="I2">
        <f>MAX(G2:G16)</f>
        <v>300000</v>
      </c>
      <c r="J2">
        <f>AVERAGE(G2:G16)</f>
        <v>170666.66666666666</v>
      </c>
      <c r="M2" s="2" t="s">
        <v>21</v>
      </c>
      <c r="N2" s="2" t="s">
        <v>22</v>
      </c>
    </row>
    <row r="3" spans="1:14">
      <c r="A3" s="1">
        <v>46024</v>
      </c>
      <c r="B3" t="s">
        <v>9</v>
      </c>
      <c r="C3" t="s">
        <v>10</v>
      </c>
      <c r="D3" t="s">
        <v>11</v>
      </c>
      <c r="E3">
        <v>10</v>
      </c>
      <c r="F3">
        <v>20000</v>
      </c>
      <c r="G3">
        <f t="shared" ref="G3:G15" si="0">E3*F3</f>
        <v>200000</v>
      </c>
      <c r="H3">
        <f t="shared" ref="H3:H16" si="1">SUM(G3:G17)</f>
        <v>2310000</v>
      </c>
      <c r="I3">
        <f t="shared" ref="I3:I16" si="2">MAX(G3:G17)</f>
        <v>300000</v>
      </c>
      <c r="J3">
        <f t="shared" ref="J3:J16" si="3">AVERAGE(G3:G17)</f>
        <v>165000</v>
      </c>
      <c r="M3" s="15" t="s">
        <v>23</v>
      </c>
      <c r="N3" s="3">
        <f>SUM(G2:G16)</f>
        <v>2560000</v>
      </c>
    </row>
    <row r="4" spans="1:14">
      <c r="A4" s="1">
        <v>46025</v>
      </c>
      <c r="B4" t="s">
        <v>12</v>
      </c>
      <c r="C4" t="s">
        <v>13</v>
      </c>
      <c r="D4" t="s">
        <v>14</v>
      </c>
      <c r="E4">
        <v>7</v>
      </c>
      <c r="F4">
        <v>15000</v>
      </c>
      <c r="G4">
        <f t="shared" si="0"/>
        <v>105000</v>
      </c>
      <c r="H4">
        <f t="shared" si="1"/>
        <v>2110000</v>
      </c>
      <c r="I4">
        <f t="shared" si="2"/>
        <v>300000</v>
      </c>
      <c r="J4">
        <f t="shared" si="3"/>
        <v>162307.69230769231</v>
      </c>
      <c r="M4" s="15" t="s">
        <v>19</v>
      </c>
      <c r="N4" s="3">
        <f>MAX(G2:G16)</f>
        <v>300000</v>
      </c>
    </row>
    <row r="5" spans="1:14">
      <c r="A5" s="1">
        <v>46026</v>
      </c>
      <c r="B5" t="s">
        <v>6</v>
      </c>
      <c r="C5" t="s">
        <v>15</v>
      </c>
      <c r="D5" t="s">
        <v>16</v>
      </c>
      <c r="E5">
        <v>4</v>
      </c>
      <c r="F5">
        <v>50000</v>
      </c>
      <c r="G5">
        <f t="shared" si="0"/>
        <v>200000</v>
      </c>
      <c r="H5">
        <f t="shared" si="1"/>
        <v>2005000</v>
      </c>
      <c r="I5">
        <f t="shared" si="2"/>
        <v>300000</v>
      </c>
      <c r="J5">
        <f t="shared" si="3"/>
        <v>167083.33333333334</v>
      </c>
      <c r="M5" s="15" t="s">
        <v>24</v>
      </c>
      <c r="N5" s="3">
        <f>AVERAGE(G2:G16)</f>
        <v>170666.66666666666</v>
      </c>
    </row>
    <row r="6" spans="1:14" ht="28.8">
      <c r="A6" s="1">
        <v>46027</v>
      </c>
      <c r="B6" t="s">
        <v>9</v>
      </c>
      <c r="C6" t="s">
        <v>7</v>
      </c>
      <c r="D6" t="s">
        <v>8</v>
      </c>
      <c r="E6">
        <v>8</v>
      </c>
      <c r="F6">
        <v>20000</v>
      </c>
      <c r="G6">
        <f t="shared" si="0"/>
        <v>160000</v>
      </c>
      <c r="H6">
        <f t="shared" si="1"/>
        <v>1805000</v>
      </c>
      <c r="I6">
        <f t="shared" si="2"/>
        <v>300000</v>
      </c>
      <c r="J6">
        <f t="shared" si="3"/>
        <v>164090.90909090909</v>
      </c>
      <c r="M6" s="15" t="s">
        <v>25</v>
      </c>
      <c r="N6" s="3">
        <f>SUM(E2:E16)</f>
        <v>104</v>
      </c>
    </row>
    <row r="7" spans="1:14">
      <c r="A7" s="1">
        <v>46028</v>
      </c>
      <c r="B7" t="s">
        <v>12</v>
      </c>
      <c r="C7" t="s">
        <v>10</v>
      </c>
      <c r="D7" t="s">
        <v>11</v>
      </c>
      <c r="E7">
        <v>6</v>
      </c>
      <c r="F7">
        <v>15000</v>
      </c>
      <c r="G7">
        <f t="shared" si="0"/>
        <v>90000</v>
      </c>
      <c r="H7">
        <f t="shared" si="1"/>
        <v>1645000</v>
      </c>
      <c r="I7">
        <f t="shared" si="2"/>
        <v>300000</v>
      </c>
      <c r="J7">
        <f t="shared" si="3"/>
        <v>164500</v>
      </c>
    </row>
    <row r="8" spans="1:14">
      <c r="A8" s="1">
        <v>46029</v>
      </c>
      <c r="B8" t="s">
        <v>6</v>
      </c>
      <c r="C8" t="s">
        <v>13</v>
      </c>
      <c r="D8" t="s">
        <v>14</v>
      </c>
      <c r="E8">
        <v>3</v>
      </c>
      <c r="F8">
        <v>50000</v>
      </c>
      <c r="G8">
        <f t="shared" si="0"/>
        <v>150000</v>
      </c>
      <c r="H8">
        <f t="shared" si="1"/>
        <v>1555000</v>
      </c>
      <c r="I8">
        <f t="shared" si="2"/>
        <v>300000</v>
      </c>
      <c r="J8">
        <f t="shared" si="3"/>
        <v>172777.77777777778</v>
      </c>
    </row>
    <row r="9" spans="1:14">
      <c r="A9" s="1">
        <v>46030</v>
      </c>
      <c r="B9" t="s">
        <v>9</v>
      </c>
      <c r="C9" t="s">
        <v>15</v>
      </c>
      <c r="D9" t="s">
        <v>16</v>
      </c>
      <c r="E9">
        <v>12</v>
      </c>
      <c r="F9">
        <v>20000</v>
      </c>
      <c r="G9">
        <f t="shared" si="0"/>
        <v>240000</v>
      </c>
      <c r="H9">
        <f t="shared" si="1"/>
        <v>1405000</v>
      </c>
      <c r="I9">
        <f t="shared" si="2"/>
        <v>300000</v>
      </c>
      <c r="J9">
        <f t="shared" si="3"/>
        <v>175625</v>
      </c>
    </row>
    <row r="10" spans="1:14">
      <c r="A10" s="1">
        <v>46031</v>
      </c>
      <c r="B10" t="s">
        <v>12</v>
      </c>
      <c r="C10" t="s">
        <v>7</v>
      </c>
      <c r="D10" t="s">
        <v>8</v>
      </c>
      <c r="E10">
        <v>5</v>
      </c>
      <c r="F10">
        <v>15000</v>
      </c>
      <c r="G10">
        <f t="shared" si="0"/>
        <v>75000</v>
      </c>
      <c r="H10">
        <f t="shared" si="1"/>
        <v>1165000</v>
      </c>
      <c r="I10">
        <f t="shared" si="2"/>
        <v>300000</v>
      </c>
      <c r="J10">
        <f t="shared" si="3"/>
        <v>166428.57142857142</v>
      </c>
    </row>
    <row r="11" spans="1:14">
      <c r="A11" s="1">
        <v>46032</v>
      </c>
      <c r="B11" t="s">
        <v>6</v>
      </c>
      <c r="C11" t="s">
        <v>10</v>
      </c>
      <c r="D11" t="s">
        <v>11</v>
      </c>
      <c r="E11">
        <v>4</v>
      </c>
      <c r="F11">
        <v>50000</v>
      </c>
      <c r="G11">
        <f t="shared" si="0"/>
        <v>200000</v>
      </c>
      <c r="H11">
        <f t="shared" si="1"/>
        <v>1090000</v>
      </c>
      <c r="I11">
        <f t="shared" si="2"/>
        <v>300000</v>
      </c>
      <c r="J11">
        <f t="shared" si="3"/>
        <v>181666.66666666666</v>
      </c>
    </row>
    <row r="12" spans="1:14">
      <c r="A12" s="1">
        <v>46033</v>
      </c>
      <c r="B12" t="s">
        <v>9</v>
      </c>
      <c r="C12" t="s">
        <v>13</v>
      </c>
      <c r="D12" t="s">
        <v>14</v>
      </c>
      <c r="E12">
        <v>9</v>
      </c>
      <c r="F12">
        <v>20000</v>
      </c>
      <c r="G12">
        <f t="shared" si="0"/>
        <v>180000</v>
      </c>
      <c r="H12">
        <f t="shared" si="1"/>
        <v>890000</v>
      </c>
      <c r="I12">
        <f t="shared" si="2"/>
        <v>300000</v>
      </c>
      <c r="J12">
        <f t="shared" si="3"/>
        <v>178000</v>
      </c>
    </row>
    <row r="13" spans="1:14">
      <c r="A13" s="1">
        <v>46034</v>
      </c>
      <c r="B13" t="s">
        <v>12</v>
      </c>
      <c r="C13" t="s">
        <v>15</v>
      </c>
      <c r="D13" t="s">
        <v>16</v>
      </c>
      <c r="E13">
        <v>8</v>
      </c>
      <c r="F13">
        <v>15000</v>
      </c>
      <c r="G13">
        <f t="shared" si="0"/>
        <v>120000</v>
      </c>
      <c r="H13">
        <f t="shared" si="1"/>
        <v>710000</v>
      </c>
      <c r="I13">
        <f t="shared" si="2"/>
        <v>300000</v>
      </c>
      <c r="J13">
        <f t="shared" si="3"/>
        <v>177500</v>
      </c>
    </row>
    <row r="14" spans="1:14">
      <c r="A14" s="1">
        <v>46035</v>
      </c>
      <c r="B14" t="s">
        <v>6</v>
      </c>
      <c r="C14" t="s">
        <v>7</v>
      </c>
      <c r="D14" t="s">
        <v>8</v>
      </c>
      <c r="E14">
        <v>6</v>
      </c>
      <c r="F14">
        <v>50000</v>
      </c>
      <c r="G14">
        <f t="shared" si="0"/>
        <v>300000</v>
      </c>
      <c r="H14">
        <f t="shared" si="1"/>
        <v>590000</v>
      </c>
      <c r="I14">
        <f t="shared" si="2"/>
        <v>300000</v>
      </c>
      <c r="J14">
        <f t="shared" si="3"/>
        <v>196666.66666666666</v>
      </c>
    </row>
    <row r="15" spans="1:14">
      <c r="A15" s="1">
        <v>46036</v>
      </c>
      <c r="B15" t="s">
        <v>9</v>
      </c>
      <c r="C15" t="s">
        <v>10</v>
      </c>
      <c r="D15" t="s">
        <v>11</v>
      </c>
      <c r="E15">
        <v>7</v>
      </c>
      <c r="F15">
        <v>20000</v>
      </c>
      <c r="G15">
        <f t="shared" si="0"/>
        <v>140000</v>
      </c>
      <c r="H15">
        <f t="shared" si="1"/>
        <v>290000</v>
      </c>
      <c r="I15">
        <f t="shared" si="2"/>
        <v>150000</v>
      </c>
      <c r="J15">
        <f t="shared" si="3"/>
        <v>145000</v>
      </c>
    </row>
    <row r="16" spans="1:14">
      <c r="A16" s="1">
        <v>46037</v>
      </c>
      <c r="B16" t="s">
        <v>12</v>
      </c>
      <c r="C16" t="s">
        <v>13</v>
      </c>
      <c r="D16" t="s">
        <v>14</v>
      </c>
      <c r="E16">
        <v>10</v>
      </c>
      <c r="F16">
        <v>15000</v>
      </c>
      <c r="G16">
        <f>E16*F16</f>
        <v>150000</v>
      </c>
      <c r="H16">
        <f t="shared" si="1"/>
        <v>150000</v>
      </c>
      <c r="I16">
        <f t="shared" si="2"/>
        <v>150000</v>
      </c>
      <c r="J16">
        <f t="shared" si="3"/>
        <v>150000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84F6-EE77-4F97-85BB-62974E46595E}">
  <sheetPr>
    <tabColor rgb="FFFF0000"/>
  </sheetPr>
  <dimension ref="C2:N20"/>
  <sheetViews>
    <sheetView workbookViewId="0">
      <selection activeCell="J19" sqref="J19"/>
    </sheetView>
  </sheetViews>
  <sheetFormatPr defaultRowHeight="14.4"/>
  <sheetData>
    <row r="2" spans="5:14">
      <c r="E2" s="13" t="s">
        <v>27</v>
      </c>
      <c r="F2" s="12"/>
      <c r="N2" s="11" t="s">
        <v>28</v>
      </c>
    </row>
    <row r="20" spans="3:14">
      <c r="C20" s="14" t="s">
        <v>26</v>
      </c>
      <c r="N20" s="13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76B0-755A-46C5-B955-4272038BD5A0}">
  <sheetPr>
    <tabColor rgb="FF00B050"/>
  </sheetPr>
  <dimension ref="A2:B6"/>
  <sheetViews>
    <sheetView workbookViewId="0">
      <selection activeCell="F25" sqref="F25"/>
    </sheetView>
  </sheetViews>
  <sheetFormatPr defaultRowHeight="15.6"/>
  <cols>
    <col min="1" max="2" width="16" style="5" customWidth="1"/>
  </cols>
  <sheetData>
    <row r="2" spans="1:2">
      <c r="A2" s="8" t="s">
        <v>21</v>
      </c>
      <c r="B2" s="8" t="s">
        <v>22</v>
      </c>
    </row>
    <row r="3" spans="1:2" s="4" customFormat="1">
      <c r="A3" s="9" t="s">
        <v>23</v>
      </c>
      <c r="B3" s="6">
        <v>2560000</v>
      </c>
    </row>
    <row r="4" spans="1:2">
      <c r="A4" s="10" t="s">
        <v>19</v>
      </c>
      <c r="B4" s="7">
        <v>300000</v>
      </c>
    </row>
    <row r="5" spans="1:2">
      <c r="A5" s="10" t="s">
        <v>24</v>
      </c>
      <c r="B5" s="7">
        <v>170666.66666666666</v>
      </c>
    </row>
    <row r="6" spans="1:2">
      <c r="A6" s="10" t="s">
        <v>25</v>
      </c>
      <c r="B6" s="7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rharshitha439@gmail.com</dc:creator>
  <cp:lastModifiedBy>rharshitha439@gmail.com</cp:lastModifiedBy>
  <dcterms:created xsi:type="dcterms:W3CDTF">2026-06-23T21:04:32Z</dcterms:created>
  <dcterms:modified xsi:type="dcterms:W3CDTF">2026-06-23T22:34:09Z</dcterms:modified>
</cp:coreProperties>
</file>