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ytics\New folder\"/>
    </mc:Choice>
  </mc:AlternateContent>
  <xr:revisionPtr revIDLastSave="0" documentId="13_ncr:1_{2D92044E-44CC-450C-8DA6-9DCECB509352}" xr6:coauthVersionLast="47" xr6:coauthVersionMax="47" xr10:uidLastSave="{00000000-0000-0000-0000-000000000000}"/>
  <bookViews>
    <workbookView xWindow="-108" yWindow="-108" windowWidth="23256" windowHeight="12576" xr2:uid="{6147443A-3E44-410E-8D90-74A6C2A95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I17" i="1"/>
  <c r="I18" i="1"/>
  <c r="I19" i="1"/>
  <c r="I20" i="1"/>
  <c r="I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H19" i="1"/>
  <c r="H20" i="1"/>
  <c r="H2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  <c r="G19" i="1"/>
  <c r="G20" i="1"/>
  <c r="G2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F19" i="1"/>
  <c r="F20" i="1"/>
  <c r="F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E15" i="1"/>
  <c r="E16" i="1"/>
  <c r="E17" i="1"/>
  <c r="E18" i="1"/>
  <c r="E19" i="1"/>
  <c r="E20" i="1"/>
  <c r="E21" i="1"/>
  <c r="E3" i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<sst xmlns="http://schemas.openxmlformats.org/spreadsheetml/2006/main" count="42" uniqueCount="39">
  <si>
    <t>Student Name</t>
  </si>
  <si>
    <t>Maths</t>
  </si>
  <si>
    <t>Science</t>
  </si>
  <si>
    <t>English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</si>
  <si>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</si>
  <si>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</si>
  <si>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</si>
  <si>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</si>
  <si>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</si>
  <si>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</si>
  <si>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</si>
  <si>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</si>
  <si>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</si>
  <si>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</si>
  <si>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</si>
  <si>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</si>
  <si>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</si>
  <si>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</si>
  <si>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</si>
  <si>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</si>
  <si>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</si>
  <si>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</si>
  <si>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</si>
  <si>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</si>
  <si>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total</t>
  </si>
  <si>
    <t>Average</t>
  </si>
  <si>
    <t>Highest Total</t>
  </si>
  <si>
    <t>Lowest Total</t>
  </si>
  <si>
    <t>Average Total</t>
  </si>
  <si>
    <t>Metric</t>
  </si>
  <si>
    <t>Value</t>
  </si>
  <si>
    <t>How to do it</t>
  </si>
  <si>
    <t>Let's say:</t>
  </si>
  <si>
    <t>A25 = Highest Total</t>
  </si>
  <si>
    <r>
      <t xml:space="preserve">B25 = </t>
    </r>
    <r>
      <rPr>
        <sz val="10"/>
        <color theme="1"/>
        <rFont val="Arial Unicode MS"/>
      </rPr>
      <t>=MAX(E2:E21)</t>
    </r>
  </si>
  <si>
    <t>A26 = Lowest Total</t>
  </si>
  <si>
    <r>
      <t xml:space="preserve">B26 = </t>
    </r>
    <r>
      <rPr>
        <sz val="10"/>
        <color theme="1"/>
        <rFont val="Arial Unicode MS"/>
      </rPr>
      <t>=MIN(E2:E21)</t>
    </r>
  </si>
  <si>
    <t>A27 = Average Total</t>
  </si>
  <si>
    <r>
      <t xml:space="preserve">B27 = </t>
    </r>
    <r>
      <rPr>
        <sz val="10"/>
        <color theme="1"/>
        <rFont val="Arial Unicode MS"/>
      </rPr>
      <t>=AVERAGE(E2:E21)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</si>
</sst>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Performance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Sheet1!$A$2:$A$29</c:f>
              <c:strCache>
                <c:ptCount val="20"/>
                <c:pt idx="0">
                  <c:v>Student 1</c:v>
                </c:pt>
                <c:pt idx="1">
                  <c:v>Student 2</c:v>
                </c:pt>
                <c:pt idx="2">
                  <c:v>Student 3</c:v>
                </c:pt>
                <c:pt idx="3">
                  <c:v>Student 4</c:v>
                </c:pt>
                <c:pt idx="4">
                  <c:v>Student 5</c:v>
                </c:pt>
                <c:pt idx="5">
                  <c:v>Student 6</c:v>
                </c:pt>
                <c:pt idx="6">
                  <c:v>Student 7</c:v>
                </c:pt>
                <c:pt idx="7">
                  <c:v>Student 8</c:v>
                </c:pt>
                <c:pt idx="8">
                  <c:v>Student 9</c:v>
                </c:pt>
                <c:pt idx="9">
                  <c:v>Student 10</c:v>
                </c:pt>
                <c:pt idx="10">
                  <c:v>Student 11</c:v>
                </c:pt>
                <c:pt idx="11">
                  <c:v>Student 12</c:v>
                </c:pt>
                <c:pt idx="12">
                  <c:v>Student 13</c:v>
                </c:pt>
                <c:pt idx="13">
                  <c:v>Student 14</c:v>
                </c:pt>
                <c:pt idx="14">
                  <c:v>Student 15</c:v>
                </c:pt>
                <c:pt idx="15">
                  <c:v>Student 16</c:v>
                </c:pt>
                <c:pt idx="16">
                  <c:v>Student 17</c:v>
                </c:pt>
                <c:pt idx="17">
                  <c:v>Student 18</c:v>
                </c:pt>
                <c:pt idx="18">
                  <c:v>Student 19</c:v>
                </c:pt>
                <c:pt idx="19">
                  <c:v>Student 20</c:v>
                </c:pt>
              </c:strCache>
            </c:strRef>
          </c:cat>
          <c:val>
            <c:numRef>
              <c:f>Sheet1!$E$2:$E$29</c:f>
              <c:numCache>
                <c:formatCode>General</c:formatCode>
                <c:ptCount val="28"/>
                <c:pt idx="0">
                  <c:v>253</c:v>
                </c:pt>
                <c:pt idx="1">
                  <c:v>241</c:v>
                </c:pt>
                <c:pt idx="2">
                  <c:v>270</c:v>
                </c:pt>
                <c:pt idx="3">
                  <c:v>222</c:v>
                </c:pt>
                <c:pt idx="4">
                  <c:v>268</c:v>
                </c:pt>
                <c:pt idx="5">
                  <c:v>235</c:v>
                </c:pt>
                <c:pt idx="6">
                  <c:v>271</c:v>
                </c:pt>
                <c:pt idx="7">
                  <c:v>207</c:v>
                </c:pt>
                <c:pt idx="8">
                  <c:v>246</c:v>
                </c:pt>
                <c:pt idx="9">
                  <c:v>268</c:v>
                </c:pt>
                <c:pt idx="10">
                  <c:v>231</c:v>
                </c:pt>
                <c:pt idx="11">
                  <c:v>285</c:v>
                </c:pt>
                <c:pt idx="12">
                  <c:v>210</c:v>
                </c:pt>
                <c:pt idx="13">
                  <c:v>245</c:v>
                </c:pt>
                <c:pt idx="14">
                  <c:v>231</c:v>
                </c:pt>
                <c:pt idx="15">
                  <c:v>270</c:v>
                </c:pt>
                <c:pt idx="16">
                  <c:v>218</c:v>
                </c:pt>
                <c:pt idx="17">
                  <c:v>258</c:v>
                </c:pt>
                <c:pt idx="18">
                  <c:v>240</c:v>
                </c:pt>
                <c:pt idx="19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E-4570-9C6C-144C588A6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310368"/>
        <c:axId val="344286368"/>
      </c:barChart>
      <c:catAx>
        <c:axId val="34431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86368"/>
        <c:crosses val="autoZero"/>
        <c:auto val="1"/>
        <c:lblAlgn val="ctr"/>
        <c:lblOffset val="100"/>
        <c:noMultiLvlLbl val="0"/>
      </c:catAx>
      <c:valAx>
        <c:axId val="34428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31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0</xdr:row>
      <xdr:rowOff>327660</xdr:rowOff>
    </xdr:from>
    <xdr:to>
      <xdr:col>13</xdr:col>
      <xdr:colOff>60960</xdr:colOff>
      <xdr:row>17</xdr:row>
      <xdr:rowOff>220980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B63E58-865C-6A0E-82D2-13EA117BC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15D0-9438-49DC-AA10-92444C62BD98}">
  <dimension ref="A1:N32"/>
  <sheetViews>
    <sheetView tabSelected="1" workbookViewId="0">
      <selection activeCell="O15" sqref="O15"/>
    </sheetView>
  </sheetViews>
  <sheetFormatPr defaultRowHeight="14.4"/>
  <cols>
    <col min="1" max="1" width="16.33203125" customWidth="1"/>
    <col min="6" max="6" width="11.77734375" customWidth="1"/>
    <col min="7" max="8" width="14.77734375" customWidth="1"/>
    <col min="9" max="10" width="15.6640625" customWidth="1"/>
  </cols>
  <sheetData>
    <row r="1" spans="1:9" ht="36">
      <c r="A1" s="5" t="s">
        <v>0</v>
      </c>
      <c r="B1" s="5" t="s">
        <v>1</v>
      </c>
      <c r="C1" s="5" t="s">
        <v>2</v>
      </c>
      <c r="D1" s="5" t="s">
        <v>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</row>
    <row r="2" spans="1:9">
      <c r="A2" s="2" t="s">
        <v>4</v>
      </c>
      <c r="B2" s="2">
        <v>85</v>
      </c>
      <c r="C2" s="2">
        <v>78</v>
      </c>
      <c r="D2" s="2">
        <v>90</v>
      </c>
      <c r="E2">
        <f>SUM(B2:D2)</f>
        <v>253</v>
      </c>
      <c r="F2">
        <f>AVERAGE(B2:D2)</f>
        <v>84.333333333333329</v>
      </c>
      <c r="G2">
        <f>MAX(E2:E21)</f>
        <v>285</v>
      </c>
      <c r="H2">
        <f>MIN(E2:E21)</f>
        <v>207</v>
      </c>
      <c r="I2">
        <f>AVERAGE(E2:E21)</f>
        <v>247.4</v>
      </c>
    </row>
    <row r="3" spans="1:9">
      <c r="A3" s="2" t="s">
        <v>5</v>
      </c>
      <c r="B3" s="2">
        <v>72</v>
      </c>
      <c r="C3" s="2">
        <v>88</v>
      </c>
      <c r="D3" s="2">
        <v>81</v>
      </c>
      <c r="E3">
        <f t="shared" ref="E3:E21" si="0">SUM(B3:D3)</f>
        <v>241</v>
      </c>
      <c r="F3">
        <f t="shared" ref="F3:F21" si="1">AVERAGE(B3:D3)</f>
        <v>80.333333333333329</v>
      </c>
      <c r="G3">
        <f t="shared" ref="G3:G21" si="2">MAX(E3:E22)</f>
        <v>285</v>
      </c>
      <c r="H3">
        <f t="shared" ref="H3:H21" si="3">MIN(E3:E22)</f>
        <v>207</v>
      </c>
      <c r="I3">
        <f t="shared" ref="I3:I29" si="4">AVERAGE(E3:E22)</f>
        <v>247.10526315789474</v>
      </c>
    </row>
    <row r="4" spans="1:9">
      <c r="A4" s="2" t="s">
        <v>6</v>
      </c>
      <c r="B4" s="2">
        <v>91</v>
      </c>
      <c r="C4" s="2">
        <v>84</v>
      </c>
      <c r="D4" s="2">
        <v>95</v>
      </c>
      <c r="E4">
        <f t="shared" si="0"/>
        <v>270</v>
      </c>
      <c r="F4">
        <f t="shared" si="1"/>
        <v>90</v>
      </c>
      <c r="G4">
        <f t="shared" si="2"/>
        <v>285</v>
      </c>
      <c r="H4">
        <f t="shared" si="3"/>
        <v>207</v>
      </c>
      <c r="I4">
        <f t="shared" si="4"/>
        <v>247.44444444444446</v>
      </c>
    </row>
    <row r="5" spans="1:9">
      <c r="A5" s="2" t="s">
        <v>7</v>
      </c>
      <c r="B5" s="2">
        <v>67</v>
      </c>
      <c r="C5" s="2">
        <v>75</v>
      </c>
      <c r="D5" s="2">
        <v>80</v>
      </c>
      <c r="E5">
        <f t="shared" si="0"/>
        <v>222</v>
      </c>
      <c r="F5">
        <f t="shared" si="1"/>
        <v>74</v>
      </c>
      <c r="G5">
        <f t="shared" si="2"/>
        <v>285</v>
      </c>
      <c r="H5">
        <f t="shared" si="3"/>
        <v>207</v>
      </c>
      <c r="I5">
        <f t="shared" si="4"/>
        <v>246.11764705882354</v>
      </c>
    </row>
    <row r="6" spans="1:9">
      <c r="A6" s="2" t="s">
        <v>8</v>
      </c>
      <c r="B6" s="2">
        <v>89</v>
      </c>
      <c r="C6" s="2">
        <v>92</v>
      </c>
      <c r="D6" s="2">
        <v>87</v>
      </c>
      <c r="E6">
        <f t="shared" si="0"/>
        <v>268</v>
      </c>
      <c r="F6">
        <f t="shared" si="1"/>
        <v>89.333333333333329</v>
      </c>
      <c r="G6">
        <f t="shared" si="2"/>
        <v>285</v>
      </c>
      <c r="H6">
        <f t="shared" si="3"/>
        <v>207</v>
      </c>
      <c r="I6">
        <f t="shared" si="4"/>
        <v>247.625</v>
      </c>
    </row>
    <row r="7" spans="1:9">
      <c r="A7" s="2" t="s">
        <v>9</v>
      </c>
      <c r="B7" s="2">
        <v>78</v>
      </c>
      <c r="C7" s="2">
        <v>81</v>
      </c>
      <c r="D7" s="2">
        <v>76</v>
      </c>
      <c r="E7">
        <f t="shared" si="0"/>
        <v>235</v>
      </c>
      <c r="F7">
        <f t="shared" si="1"/>
        <v>78.333333333333329</v>
      </c>
      <c r="G7">
        <f t="shared" si="2"/>
        <v>285</v>
      </c>
      <c r="H7">
        <f t="shared" si="3"/>
        <v>207</v>
      </c>
      <c r="I7">
        <f t="shared" si="4"/>
        <v>246.26666666666668</v>
      </c>
    </row>
    <row r="8" spans="1:9">
      <c r="A8" s="2" t="s">
        <v>10</v>
      </c>
      <c r="B8" s="2">
        <v>93</v>
      </c>
      <c r="C8" s="2">
        <v>90</v>
      </c>
      <c r="D8" s="2">
        <v>88</v>
      </c>
      <c r="E8">
        <f t="shared" si="0"/>
        <v>271</v>
      </c>
      <c r="F8">
        <f t="shared" si="1"/>
        <v>90.333333333333329</v>
      </c>
      <c r="G8">
        <f t="shared" si="2"/>
        <v>285</v>
      </c>
      <c r="H8">
        <f t="shared" si="3"/>
        <v>207</v>
      </c>
      <c r="I8">
        <f t="shared" si="4"/>
        <v>247.07142857142858</v>
      </c>
    </row>
    <row r="9" spans="1:9">
      <c r="A9" s="2" t="s">
        <v>11</v>
      </c>
      <c r="B9" s="2">
        <v>65</v>
      </c>
      <c r="C9" s="2">
        <v>70</v>
      </c>
      <c r="D9" s="2">
        <v>72</v>
      </c>
      <c r="E9">
        <f t="shared" si="0"/>
        <v>207</v>
      </c>
      <c r="F9">
        <f t="shared" si="1"/>
        <v>69</v>
      </c>
      <c r="G9">
        <f t="shared" si="2"/>
        <v>285</v>
      </c>
      <c r="H9">
        <f t="shared" si="3"/>
        <v>207</v>
      </c>
      <c r="I9">
        <f t="shared" si="4"/>
        <v>245.23076923076923</v>
      </c>
    </row>
    <row r="10" spans="1:9">
      <c r="A10" s="2" t="s">
        <v>12</v>
      </c>
      <c r="B10" s="2">
        <v>82</v>
      </c>
      <c r="C10" s="2">
        <v>79</v>
      </c>
      <c r="D10" s="2">
        <v>85</v>
      </c>
      <c r="E10">
        <f t="shared" si="0"/>
        <v>246</v>
      </c>
      <c r="F10">
        <f t="shared" si="1"/>
        <v>82</v>
      </c>
      <c r="G10">
        <f t="shared" si="2"/>
        <v>285</v>
      </c>
      <c r="H10">
        <f t="shared" si="3"/>
        <v>210</v>
      </c>
      <c r="I10">
        <f t="shared" si="4"/>
        <v>248.41666666666666</v>
      </c>
    </row>
    <row r="11" spans="1:9" ht="28.8">
      <c r="A11" s="2" t="s">
        <v>13</v>
      </c>
      <c r="B11" s="2">
        <v>88</v>
      </c>
      <c r="C11" s="2">
        <v>91</v>
      </c>
      <c r="D11" s="2">
        <v>89</v>
      </c>
      <c r="E11">
        <f t="shared" si="0"/>
        <v>268</v>
      </c>
      <c r="F11">
        <f t="shared" si="1"/>
        <v>89.333333333333329</v>
      </c>
      <c r="G11">
        <f t="shared" si="2"/>
        <v>285</v>
      </c>
      <c r="H11">
        <f t="shared" si="3"/>
        <v>210</v>
      </c>
      <c r="I11">
        <f t="shared" si="4"/>
        <v>248.63636363636363</v>
      </c>
    </row>
    <row r="12" spans="1:9" ht="28.8">
      <c r="A12" s="2" t="s">
        <v>14</v>
      </c>
      <c r="B12" s="2">
        <v>74</v>
      </c>
      <c r="C12" s="2">
        <v>77</v>
      </c>
      <c r="D12" s="2">
        <v>80</v>
      </c>
      <c r="E12">
        <f t="shared" si="0"/>
        <v>231</v>
      </c>
      <c r="F12">
        <f t="shared" si="1"/>
        <v>77</v>
      </c>
      <c r="G12">
        <f t="shared" si="2"/>
        <v>285</v>
      </c>
      <c r="H12">
        <f t="shared" si="3"/>
        <v>210</v>
      </c>
      <c r="I12">
        <f t="shared" si="4"/>
        <v>246.7</v>
      </c>
    </row>
    <row r="13" spans="1:9" ht="28.8">
      <c r="A13" s="2" t="s">
        <v>15</v>
      </c>
      <c r="B13" s="2">
        <v>95</v>
      </c>
      <c r="C13" s="2">
        <v>94</v>
      </c>
      <c r="D13" s="2">
        <v>96</v>
      </c>
      <c r="E13">
        <f t="shared" si="0"/>
        <v>285</v>
      </c>
      <c r="F13">
        <f t="shared" si="1"/>
        <v>95</v>
      </c>
      <c r="G13">
        <f t="shared" si="2"/>
        <v>285</v>
      </c>
      <c r="H13">
        <f t="shared" si="3"/>
        <v>210</v>
      </c>
      <c r="I13">
        <f t="shared" si="4"/>
        <v>248.44444444444446</v>
      </c>
    </row>
    <row r="14" spans="1:9" ht="28.8">
      <c r="A14" s="2" t="s">
        <v>16</v>
      </c>
      <c r="B14" s="2">
        <v>68</v>
      </c>
      <c r="C14" s="2">
        <v>72</v>
      </c>
      <c r="D14" s="2">
        <v>70</v>
      </c>
      <c r="E14">
        <f t="shared" si="0"/>
        <v>210</v>
      </c>
      <c r="F14">
        <f t="shared" si="1"/>
        <v>70</v>
      </c>
      <c r="G14">
        <f t="shared" si="2"/>
        <v>279</v>
      </c>
      <c r="H14">
        <f t="shared" si="3"/>
        <v>210</v>
      </c>
      <c r="I14">
        <f t="shared" si="4"/>
        <v>243.875</v>
      </c>
    </row>
    <row r="15" spans="1:9" ht="28.8">
      <c r="A15" s="2" t="s">
        <v>17</v>
      </c>
      <c r="B15" s="2">
        <v>80</v>
      </c>
      <c r="C15" s="2">
        <v>83</v>
      </c>
      <c r="D15" s="2">
        <v>82</v>
      </c>
      <c r="E15">
        <f>SUM(B15:D15)</f>
        <v>245</v>
      </c>
      <c r="F15">
        <f t="shared" si="1"/>
        <v>81.666666666666671</v>
      </c>
      <c r="G15">
        <f t="shared" si="2"/>
        <v>279</v>
      </c>
      <c r="H15">
        <f t="shared" si="3"/>
        <v>218</v>
      </c>
      <c r="I15">
        <f t="shared" si="4"/>
        <v>248.71428571428572</v>
      </c>
    </row>
    <row r="16" spans="1:9" ht="28.8">
      <c r="A16" s="2" t="s">
        <v>18</v>
      </c>
      <c r="B16" s="2">
        <v>77</v>
      </c>
      <c r="C16" s="2">
        <v>75</v>
      </c>
      <c r="D16" s="2">
        <v>79</v>
      </c>
      <c r="E16">
        <f t="shared" si="0"/>
        <v>231</v>
      </c>
      <c r="F16">
        <f t="shared" si="1"/>
        <v>77</v>
      </c>
      <c r="G16">
        <f t="shared" si="2"/>
        <v>279</v>
      </c>
      <c r="H16">
        <f t="shared" si="3"/>
        <v>218</v>
      </c>
      <c r="I16">
        <f>AVERAGE(E16:E35)</f>
        <v>249.33333333333334</v>
      </c>
    </row>
    <row r="17" spans="1:14" ht="28.8">
      <c r="A17" s="2" t="s">
        <v>19</v>
      </c>
      <c r="B17" s="2">
        <v>90</v>
      </c>
      <c r="C17" s="2">
        <v>89</v>
      </c>
      <c r="D17" s="2">
        <v>91</v>
      </c>
      <c r="E17">
        <f t="shared" si="0"/>
        <v>270</v>
      </c>
      <c r="F17">
        <f t="shared" si="1"/>
        <v>90</v>
      </c>
      <c r="G17">
        <f t="shared" si="2"/>
        <v>279</v>
      </c>
      <c r="H17">
        <f t="shared" si="3"/>
        <v>218</v>
      </c>
      <c r="I17">
        <f t="shared" si="4"/>
        <v>253</v>
      </c>
    </row>
    <row r="18" spans="1:14" ht="28.8">
      <c r="A18" s="2" t="s">
        <v>20</v>
      </c>
      <c r="B18" s="2">
        <v>71</v>
      </c>
      <c r="C18" s="2">
        <v>73</v>
      </c>
      <c r="D18" s="2">
        <v>74</v>
      </c>
      <c r="E18">
        <f t="shared" si="0"/>
        <v>218</v>
      </c>
      <c r="F18">
        <f t="shared" si="1"/>
        <v>72.666666666666671</v>
      </c>
      <c r="G18">
        <f t="shared" si="2"/>
        <v>279</v>
      </c>
      <c r="H18">
        <f t="shared" si="3"/>
        <v>218</v>
      </c>
      <c r="I18">
        <f t="shared" si="4"/>
        <v>248.75</v>
      </c>
    </row>
    <row r="19" spans="1:14" ht="28.8">
      <c r="A19" s="2" t="s">
        <v>21</v>
      </c>
      <c r="B19" s="2">
        <v>86</v>
      </c>
      <c r="C19" s="2">
        <v>84</v>
      </c>
      <c r="D19" s="2">
        <v>88</v>
      </c>
      <c r="E19">
        <f t="shared" si="0"/>
        <v>258</v>
      </c>
      <c r="F19">
        <f>AVERAGE(B19:D19)</f>
        <v>86</v>
      </c>
      <c r="G19">
        <f>MAX(E19:E38)</f>
        <v>279</v>
      </c>
      <c r="H19">
        <f>MIN(E19:E38)</f>
        <v>240</v>
      </c>
      <c r="I19">
        <f t="shared" si="4"/>
        <v>259</v>
      </c>
    </row>
    <row r="20" spans="1:14" ht="28.8">
      <c r="A20" s="2" t="s">
        <v>22</v>
      </c>
      <c r="B20" s="2">
        <v>79</v>
      </c>
      <c r="C20" s="2">
        <v>81</v>
      </c>
      <c r="D20" s="2">
        <v>80</v>
      </c>
      <c r="E20">
        <f t="shared" si="0"/>
        <v>240</v>
      </c>
      <c r="F20">
        <f t="shared" si="1"/>
        <v>80</v>
      </c>
      <c r="G20">
        <f t="shared" si="2"/>
        <v>279</v>
      </c>
      <c r="H20">
        <f t="shared" si="3"/>
        <v>240</v>
      </c>
      <c r="I20">
        <f t="shared" si="4"/>
        <v>259.5</v>
      </c>
    </row>
    <row r="21" spans="1:14" ht="28.8">
      <c r="A21" s="2" t="s">
        <v>23</v>
      </c>
      <c r="B21" s="2">
        <v>92</v>
      </c>
      <c r="C21" s="2">
        <v>93</v>
      </c>
      <c r="D21" s="2">
        <v>94</v>
      </c>
      <c r="E21">
        <f t="shared" si="0"/>
        <v>279</v>
      </c>
      <c r="F21">
        <f t="shared" si="1"/>
        <v>93</v>
      </c>
      <c r="G21">
        <f t="shared" si="2"/>
        <v>279</v>
      </c>
      <c r="H21">
        <f t="shared" si="3"/>
        <v>279</v>
      </c>
      <c r="I21">
        <f t="shared" si="4"/>
        <v>279</v>
      </c>
    </row>
    <row r="23" spans="1:14" ht="18">
      <c r="N23" s="3" t="s">
        <v>31</v>
      </c>
    </row>
    <row r="24" spans="1:14">
      <c r="J24" s="1" t="s">
        <v>29</v>
      </c>
      <c r="K24" s="1" t="s">
        <v>30</v>
      </c>
    </row>
    <row r="25" spans="1:14">
      <c r="J25" s="2" t="s">
        <v>26</v>
      </c>
      <c r="K25" s="2">
        <v>285</v>
      </c>
      <c r="N25" t="s">
        <v>32</v>
      </c>
    </row>
    <row r="26" spans="1:14">
      <c r="J26" s="2" t="s">
        <v>27</v>
      </c>
      <c r="K26" s="2">
        <v>207</v>
      </c>
      <c r="N26" s="4"/>
    </row>
    <row r="27" spans="1:14">
      <c r="J27" s="2" t="s">
        <v>28</v>
      </c>
      <c r="K27" s="2">
        <v>247.4</v>
      </c>
      <c r="N27" s="4" t="s">
        <v>33</v>
      </c>
    </row>
    <row r="28" spans="1:14">
      <c r="N28" s="4" t="s">
        <v>34</v>
      </c>
    </row>
    <row r="29" spans="1:14">
      <c r="N29" s="4" t="s">
        <v>35</v>
      </c>
    </row>
    <row r="30" spans="1:14">
      <c r="N30" s="4" t="s">
        <v>36</v>
      </c>
    </row>
    <row r="31" spans="1:14">
      <c r="N31" s="4" t="s">
        <v>37</v>
      </c>
    </row>
    <row r="32" spans="1:14">
      <c r="N32" s="4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rharshitha439@gmail.com</dc:creator>
  <cp:lastModifiedBy>rharshitha439@gmail.com</cp:lastModifiedBy>
  <dcterms:created xsi:type="dcterms:W3CDTF">2026-06-16T22:39:48Z</dcterms:created>
  <dcterms:modified xsi:type="dcterms:W3CDTF">2026-06-16T23:45:08Z</dcterms:modified>
</cp:coreProperties>
</file>